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jetjeunesse.sharepoint.com/sites/accounting2/FR/FS2025-2026/Monthly Financials/202510/"/>
    </mc:Choice>
  </mc:AlternateContent>
  <xr:revisionPtr revIDLastSave="47" documentId="8_{D62FB267-B50B-43B0-92A8-C02516E8CC21}" xr6:coauthVersionLast="47" xr6:coauthVersionMax="47" xr10:uidLastSave="{1AF56844-8573-49F1-BA38-8EFF284238A9}"/>
  <bookViews>
    <workbookView xWindow="57480" yWindow="8715" windowWidth="29040" windowHeight="15720" xr2:uid="{1F30111E-61AC-4113-9B5E-1945B884FF91}"/>
  </bookViews>
  <sheets>
    <sheet name="Incom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G50" i="1"/>
  <c r="G49" i="1"/>
  <c r="G48" i="1"/>
  <c r="F50" i="1"/>
  <c r="F48" i="1"/>
  <c r="H42" i="1"/>
  <c r="H43" i="1"/>
  <c r="G45" i="1"/>
  <c r="D51" i="1"/>
  <c r="D48" i="1"/>
  <c r="D49" i="1"/>
  <c r="D50" i="1" s="1"/>
  <c r="C48" i="1"/>
  <c r="C49" i="1"/>
  <c r="C50" i="1"/>
  <c r="F9" i="1"/>
  <c r="I9" i="1"/>
  <c r="F12" i="1"/>
  <c r="I12" i="1"/>
  <c r="E14" i="1"/>
  <c r="F14" i="1" s="1"/>
  <c r="H14" i="1"/>
  <c r="I14" i="1" s="1"/>
  <c r="E15" i="1"/>
  <c r="F15" i="1" s="1"/>
  <c r="H15" i="1"/>
  <c r="I15" i="1" s="1"/>
  <c r="E16" i="1"/>
  <c r="F16" i="1" s="1"/>
  <c r="H16" i="1"/>
  <c r="I16" i="1" s="1"/>
  <c r="E17" i="1"/>
  <c r="F17" i="1" s="1"/>
  <c r="H17" i="1"/>
  <c r="I17" i="1" s="1"/>
  <c r="E18" i="1"/>
  <c r="F18" i="1" s="1"/>
  <c r="H18" i="1"/>
  <c r="I18" i="1" s="1"/>
  <c r="E19" i="1"/>
  <c r="F19" i="1" s="1"/>
  <c r="H19" i="1"/>
  <c r="I19" i="1" s="1"/>
  <c r="E20" i="1"/>
  <c r="F20" i="1"/>
  <c r="H20" i="1"/>
  <c r="I20" i="1" s="1"/>
  <c r="E21" i="1"/>
  <c r="F21" i="1" s="1"/>
  <c r="H21" i="1"/>
  <c r="I21" i="1" s="1"/>
  <c r="E22" i="1"/>
  <c r="F22" i="1" s="1"/>
  <c r="H22" i="1"/>
  <c r="I22" i="1" s="1"/>
  <c r="E23" i="1"/>
  <c r="F23" i="1" s="1"/>
  <c r="H23" i="1"/>
  <c r="I23" i="1" s="1"/>
  <c r="E24" i="1"/>
  <c r="F24" i="1" s="1"/>
  <c r="H24" i="1"/>
  <c r="I24" i="1" s="1"/>
  <c r="E25" i="1"/>
  <c r="F25" i="1" s="1"/>
  <c r="H25" i="1"/>
  <c r="I25" i="1" s="1"/>
  <c r="E26" i="1"/>
  <c r="F26" i="1" s="1"/>
  <c r="H26" i="1"/>
  <c r="I26" i="1" s="1"/>
  <c r="E27" i="1"/>
  <c r="F27" i="1" s="1"/>
  <c r="H27" i="1"/>
  <c r="I27" i="1" s="1"/>
  <c r="E28" i="1"/>
  <c r="F28" i="1" s="1"/>
  <c r="H28" i="1"/>
  <c r="I28" i="1" s="1"/>
  <c r="E29" i="1"/>
  <c r="F29" i="1" s="1"/>
  <c r="H29" i="1"/>
  <c r="I29" i="1" s="1"/>
  <c r="E30" i="1"/>
  <c r="F30" i="1" s="1"/>
  <c r="H30" i="1"/>
  <c r="I30" i="1" s="1"/>
  <c r="E31" i="1"/>
  <c r="F31" i="1" s="1"/>
  <c r="H31" i="1"/>
  <c r="I31" i="1" s="1"/>
  <c r="E32" i="1"/>
  <c r="F32" i="1" s="1"/>
  <c r="H32" i="1"/>
  <c r="I32" i="1" s="1"/>
  <c r="E33" i="1"/>
  <c r="F33" i="1" s="1"/>
  <c r="H33" i="1"/>
  <c r="I33" i="1" s="1"/>
  <c r="E34" i="1"/>
  <c r="F34" i="1" s="1"/>
  <c r="H34" i="1"/>
  <c r="I34" i="1" s="1"/>
  <c r="E35" i="1"/>
  <c r="F35" i="1" s="1"/>
  <c r="H35" i="1"/>
  <c r="I35" i="1" s="1"/>
  <c r="E36" i="1"/>
  <c r="F36" i="1" s="1"/>
  <c r="H36" i="1"/>
  <c r="I36" i="1" s="1"/>
  <c r="E37" i="1"/>
  <c r="F37" i="1" s="1"/>
  <c r="H37" i="1"/>
  <c r="I37" i="1" s="1"/>
  <c r="E38" i="1"/>
  <c r="F38" i="1" s="1"/>
  <c r="H38" i="1"/>
  <c r="I38" i="1" s="1"/>
  <c r="E39" i="1"/>
  <c r="F39" i="1" s="1"/>
  <c r="H39" i="1"/>
  <c r="I39" i="1" s="1"/>
  <c r="E40" i="1"/>
  <c r="F40" i="1" s="1"/>
  <c r="H40" i="1"/>
  <c r="I40" i="1" s="1"/>
  <c r="E41" i="1"/>
  <c r="F41" i="1" s="1"/>
  <c r="H41" i="1"/>
  <c r="I41" i="1" s="1"/>
  <c r="E42" i="1"/>
  <c r="F42" i="1" s="1"/>
  <c r="I42" i="1"/>
  <c r="H49" i="1" l="1"/>
  <c r="I49" i="1" s="1"/>
  <c r="E49" i="1"/>
  <c r="F49" i="1" s="1"/>
  <c r="H50" i="1"/>
  <c r="I50" i="1" s="1"/>
  <c r="E48" i="1"/>
  <c r="H48" i="1"/>
  <c r="I48" i="1" s="1"/>
  <c r="H5" i="1"/>
  <c r="I5" i="1" s="1"/>
  <c r="E4" i="1"/>
  <c r="F4" i="1" s="1"/>
  <c r="E6" i="1"/>
  <c r="F6" i="1" s="1"/>
  <c r="C10" i="1"/>
  <c r="D10" i="1"/>
  <c r="D45" i="1" s="1"/>
  <c r="H8" i="1"/>
  <c r="I8" i="1" s="1"/>
  <c r="H7" i="1"/>
  <c r="I7" i="1" s="1"/>
  <c r="E8" i="1"/>
  <c r="F8" i="1" s="1"/>
  <c r="H6" i="1"/>
  <c r="I6" i="1" s="1"/>
  <c r="E5" i="1"/>
  <c r="F5" i="1" s="1"/>
  <c r="E43" i="1"/>
  <c r="F43" i="1" s="1"/>
  <c r="G10" i="1"/>
  <c r="I43" i="1"/>
  <c r="E7" i="1"/>
  <c r="F7" i="1" s="1"/>
  <c r="H4" i="1"/>
  <c r="I4" i="1" s="1"/>
  <c r="E50" i="1" l="1"/>
  <c r="E10" i="1"/>
  <c r="E45" i="1" s="1"/>
  <c r="C45" i="1"/>
  <c r="F10" i="1"/>
  <c r="H10" i="1"/>
  <c r="I10" i="1" s="1"/>
</calcChain>
</file>

<file path=xl/sharedStrings.xml><?xml version="1.0" encoding="utf-8"?>
<sst xmlns="http://schemas.openxmlformats.org/spreadsheetml/2006/main" count="57" uniqueCount="47">
  <si>
    <t>NET SURPLUS/(DEFICIT)</t>
  </si>
  <si>
    <t>TOTAL EXPENSES</t>
  </si>
  <si>
    <t>UTILITIES</t>
  </si>
  <si>
    <t>TRAVEL</t>
  </si>
  <si>
    <t>MEALS  &amp; ENTERTAINMENT</t>
  </si>
  <si>
    <t>TRAINING</t>
  </si>
  <si>
    <t>TELECOMMUNICATION</t>
  </si>
  <si>
    <t>TECHNOLOGY</t>
  </si>
  <si>
    <t>REPAIRS &amp; MAINTENANCE &amp; SUPPLIES</t>
  </si>
  <si>
    <t>RENT</t>
  </si>
  <si>
    <t>Miscellaneous</t>
  </si>
  <si>
    <t>OFFICE EQUIP &amp; SUPPLIES</t>
  </si>
  <si>
    <t>OFFICE EQUIP. RENTAL</t>
  </si>
  <si>
    <t>MEMBERSHIPS</t>
  </si>
  <si>
    <t>INTEREST &amp; BANK CHARGES</t>
  </si>
  <si>
    <t>INSURANCE-LIABILITY &amp; PROPERTY</t>
  </si>
  <si>
    <t>GROCERIES</t>
  </si>
  <si>
    <t>EDUCATIONAL BOOKS</t>
  </si>
  <si>
    <t>COURIER &amp; POSTAGE</t>
  </si>
  <si>
    <t>BUSINESS FEES &amp; LICENSES</t>
  </si>
  <si>
    <t>BAD DEBTS</t>
  </si>
  <si>
    <t>AMORTIZATION EXPENSE</t>
  </si>
  <si>
    <t>ADVERTISING &amp; PROMOTIONS</t>
  </si>
  <si>
    <t>ACCOUNTING &amp; LEGAL</t>
  </si>
  <si>
    <t>PAYROLL FEES</t>
  </si>
  <si>
    <t>GROUP INSURANCE BENEFITS</t>
  </si>
  <si>
    <t>EMPLOYEE BENEFITS</t>
  </si>
  <si>
    <t>WAGES &amp; SALARIES</t>
  </si>
  <si>
    <t>CONSULTANTS</t>
  </si>
  <si>
    <t>PROGRAM EXPENSE</t>
  </si>
  <si>
    <t>FUNDRAISING EXPENSE</t>
  </si>
  <si>
    <t>EXPENSES</t>
  </si>
  <si>
    <t>TOTAL REVENUE</t>
  </si>
  <si>
    <t xml:space="preserve">Program </t>
  </si>
  <si>
    <t>Fundraising</t>
  </si>
  <si>
    <t>Donations</t>
  </si>
  <si>
    <t>Grants</t>
  </si>
  <si>
    <t>REVENUES</t>
  </si>
  <si>
    <t>Variance to YTD Budget</t>
  </si>
  <si>
    <t>Budget 2025/26 YTD</t>
  </si>
  <si>
    <t>Variance vs Last Year</t>
  </si>
  <si>
    <t>2024/2025</t>
  </si>
  <si>
    <t>2025/2026</t>
  </si>
  <si>
    <t>Year-to-Date</t>
  </si>
  <si>
    <t>Variance percentage</t>
  </si>
  <si>
    <t>CODE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</si>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</sst>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_ ;[Red]\-#,##0.00\ "/>
    <numFmt numFmtId="165" formatCode="#,##0_ ;[Red]\-#,##0\ "/>
    <numFmt numFmtId="166" formatCode="0.0%"/>
  </numFmts>
  <fonts count="1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i/>
      <sz val="8"/>
      <color theme="1"/>
      <name val="Arial"/>
      <family val="2"/>
    </font>
    <font>
      <b/>
      <u/>
      <sz val="10"/>
      <color indexed="8"/>
      <name val="Arial"/>
      <family val="2"/>
    </font>
    <font>
      <b/>
      <u/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1" fontId="0" fillId="0" borderId="0" xfId="0" applyNumberFormat="1"/>
    <xf numFmtId="3" fontId="0" fillId="0" borderId="0" xfId="0" applyNumberFormat="1"/>
    <xf numFmtId="9" fontId="2" fillId="0" borderId="0" xfId="2" applyFont="1"/>
    <xf numFmtId="3" fontId="3" fillId="0" borderId="0" xfId="3" applyNumberFormat="1"/>
    <xf numFmtId="9" fontId="2" fillId="0" borderId="0" xfId="2" applyFont="1" applyBorder="1"/>
    <xf numFmtId="165" fontId="4" fillId="2" borderId="1" xfId="1" applyNumberFormat="1" applyFill="1" applyBorder="1"/>
    <xf numFmtId="9" fontId="5" fillId="0" borderId="0" xfId="2" applyFont="1"/>
    <xf numFmtId="165" fontId="4" fillId="0" borderId="1" xfId="1" applyNumberFormat="1" applyFill="1" applyBorder="1"/>
    <xf numFmtId="1" fontId="6" fillId="0" borderId="0" xfId="0" applyNumberFormat="1" applyFont="1"/>
    <xf numFmtId="164" fontId="4" fillId="2" borderId="0" xfId="1" applyNumberFormat="1" applyFill="1"/>
    <xf numFmtId="165" fontId="4" fillId="0" borderId="0" xfId="1" applyNumberFormat="1"/>
    <xf numFmtId="165" fontId="4" fillId="2" borderId="2" xfId="1" applyNumberFormat="1" applyFill="1" applyBorder="1"/>
    <xf numFmtId="165" fontId="4" fillId="0" borderId="2" xfId="1" applyNumberFormat="1" applyBorder="1"/>
    <xf numFmtId="165" fontId="4" fillId="2" borderId="0" xfId="1" applyNumberFormat="1" applyFill="1"/>
    <xf numFmtId="1" fontId="7" fillId="0" borderId="0" xfId="0" applyNumberFormat="1" applyFont="1"/>
    <xf numFmtId="165" fontId="0" fillId="2" borderId="0" xfId="0" applyNumberFormat="1" applyFill="1"/>
    <xf numFmtId="165" fontId="0" fillId="0" borderId="0" xfId="0" applyNumberFormat="1"/>
    <xf numFmtId="165" fontId="0" fillId="2" borderId="2" xfId="0" applyNumberFormat="1" applyFill="1" applyBorder="1"/>
    <xf numFmtId="165" fontId="0" fillId="0" borderId="2" xfId="0" applyNumberFormat="1" applyBorder="1"/>
    <xf numFmtId="9" fontId="0" fillId="0" borderId="0" xfId="2" applyFont="1"/>
    <xf numFmtId="3" fontId="0" fillId="2" borderId="0" xfId="0" applyNumberFormat="1" applyFill="1"/>
    <xf numFmtId="3" fontId="8" fillId="2" borderId="0" xfId="0" applyNumberFormat="1" applyFont="1" applyFill="1" applyAlignment="1">
      <alignment horizontal="center" wrapText="1"/>
    </xf>
    <xf numFmtId="9" fontId="9" fillId="0" borderId="0" xfId="2" applyFont="1" applyAlignment="1">
      <alignment horizontal="center" wrapText="1"/>
    </xf>
    <xf numFmtId="3" fontId="8" fillId="0" borderId="0" xfId="0" applyNumberFormat="1" applyFont="1" applyAlignment="1">
      <alignment horizontal="center" wrapText="1"/>
    </xf>
    <xf numFmtId="3" fontId="8" fillId="0" borderId="0" xfId="0" quotePrefix="1" applyNumberFormat="1" applyFont="1" applyAlignment="1">
      <alignment horizontal="center"/>
    </xf>
    <xf numFmtId="3" fontId="6" fillId="0" borderId="2" xfId="0" applyNumberFormat="1" applyFont="1" applyBorder="1" applyAlignment="1">
      <alignment horizontal="center"/>
    </xf>
    <xf numFmtId="9" fontId="10" fillId="0" borderId="2" xfId="2" applyFont="1" applyBorder="1" applyAlignment="1">
      <alignment horizontal="center"/>
    </xf>
    <xf numFmtId="165" fontId="4" fillId="0" borderId="0" xfId="1" applyNumberFormat="1" applyBorder="1"/>
    <xf numFmtId="165" fontId="4" fillId="2" borderId="0" xfId="1" applyNumberFormat="1" applyFill="1" applyBorder="1"/>
    <xf numFmtId="9" fontId="8" fillId="0" borderId="0" xfId="2" applyFont="1" applyAlignment="1">
      <alignment horizontal="center" wrapText="1"/>
    </xf>
    <xf numFmtId="166" fontId="0" fillId="0" borderId="0" xfId="2" applyNumberFormat="1" applyFont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912F-15B9-4F66-B28D-55562E6027AC}">
  <sheetPr>
    <tabColor rgb="FFFFFF00"/>
    <pageSetUpPr fitToPage="1"/>
  </sheetPr>
  <dimension ref="A1:M51"/>
  <sheetViews>
    <sheetView tabSelected="1" zoomScale="145" zoomScaleNormal="145" workbookViewId="0">
      <pane xSplit="2" ySplit="1" topLeftCell="C12" activePane="bottomRight" state="frozen"/>
      <selection pane="topRight" activeCell="C1" sqref="C1"/>
      <selection pane="bottomLeft" activeCell="A7" sqref="A7"/>
      <selection pane="bottomRight" activeCell="B13" sqref="B13"/>
    </sheetView>
  </sheetViews>
  <sheetFormatPr defaultColWidth="11.453125" defaultRowHeight="12.5" x14ac:dyDescent="0.25"/>
  <cols>
    <col min="1" max="1" width="9.1796875" style="1" customWidth="1"/>
    <col min="2" max="2" width="36.54296875" style="1" customWidth="1"/>
    <col min="3" max="3" width="13" style="2" customWidth="1"/>
    <col min="4" max="5" width="14" style="2" customWidth="1"/>
    <col min="6" max="6" width="11.54296875" style="3" customWidth="1"/>
    <col min="7" max="8" width="16.54296875" style="2" customWidth="1"/>
    <col min="9" max="9" width="11.54296875" style="3" customWidth="1"/>
    <col min="10" max="10" width="5.1796875" style="1" customWidth="1"/>
    <col min="11" max="239" width="9.1796875" style="1" customWidth="1"/>
    <col min="240" max="16384" width="11.453125" style="1"/>
  </cols>
  <sheetData>
    <row r="1" spans="1:13" ht="13" x14ac:dyDescent="0.3">
      <c r="C1" s="26"/>
      <c r="D1" s="26" t="s">
        <v>43</v>
      </c>
      <c r="E1" s="26"/>
      <c r="F1" s="27"/>
      <c r="G1" s="26"/>
      <c r="H1" s="26"/>
      <c r="I1" s="27"/>
    </row>
    <row r="2" spans="1:13" ht="26" x14ac:dyDescent="0.3">
      <c r="A2" s="1" t="s">
        <v>45</v>
      </c>
      <c r="B2" s="9" t="s">
        <v>37</v>
      </c>
      <c r="C2" s="25" t="s">
        <v>42</v>
      </c>
      <c r="D2" s="25" t="s">
        <v>41</v>
      </c>
      <c r="E2" s="24" t="s">
        <v>40</v>
      </c>
      <c r="F2" s="30" t="s">
        <v>44</v>
      </c>
      <c r="G2" s="22" t="s">
        <v>39</v>
      </c>
      <c r="H2" s="22" t="s">
        <v>38</v>
      </c>
      <c r="I2" s="30" t="s">
        <v>44</v>
      </c>
    </row>
    <row r="3" spans="1:13" x14ac:dyDescent="0.25">
      <c r="G3" s="21"/>
      <c r="H3" s="21"/>
    </row>
    <row r="4" spans="1:13" x14ac:dyDescent="0.25">
      <c r="A4" s="1">
        <v>1</v>
      </c>
      <c r="B4" s="1" t="s">
        <v>36</v>
      </c>
      <c r="C4" s="11">
        <v>369896.99000000005</v>
      </c>
      <c r="D4" s="11">
        <v>393131.13</v>
      </c>
      <c r="E4" s="11">
        <f>C4-D4</f>
        <v>-23234.139999999956</v>
      </c>
      <c r="F4" s="7">
        <f t="shared" ref="F4:F10" si="0">IFERROR(E4/D4, "")</f>
        <v>-5.9100229483226005E-2</v>
      </c>
      <c r="G4" s="14">
        <v>409122.14392583328</v>
      </c>
      <c r="H4" s="14">
        <f>C4-G4</f>
        <v>-39225.153925833234</v>
      </c>
      <c r="I4" s="7">
        <f t="shared" ref="I4:I10" si="1">IFERROR(H4/G4, "")</f>
        <v>-9.5876389259790515E-2</v>
      </c>
      <c r="J4" s="7"/>
    </row>
    <row r="5" spans="1:13" x14ac:dyDescent="0.25">
      <c r="A5" s="1">
        <v>2</v>
      </c>
      <c r="B5" s="1" t="s">
        <v>35</v>
      </c>
      <c r="C5" s="11">
        <v>3255</v>
      </c>
      <c r="D5" s="11">
        <v>83961.1</v>
      </c>
      <c r="E5" s="11">
        <f>C5-D5</f>
        <v>-80706.100000000006</v>
      </c>
      <c r="F5" s="7">
        <f t="shared" si="0"/>
        <v>-0.96123204674545715</v>
      </c>
      <c r="G5" s="14">
        <v>59791.666666666664</v>
      </c>
      <c r="H5" s="14">
        <f>C5-G5</f>
        <v>-56536.666666666664</v>
      </c>
      <c r="I5" s="7">
        <f t="shared" si="1"/>
        <v>-0.94556097560975605</v>
      </c>
      <c r="J5" s="7"/>
      <c r="M5" s="20"/>
    </row>
    <row r="6" spans="1:13" x14ac:dyDescent="0.25">
      <c r="A6" s="1">
        <v>3</v>
      </c>
      <c r="B6" s="1" t="s">
        <v>34</v>
      </c>
      <c r="C6" s="11">
        <v>93964.99</v>
      </c>
      <c r="D6" s="11">
        <v>57395</v>
      </c>
      <c r="E6" s="11">
        <f>C6-D6</f>
        <v>36569.990000000005</v>
      </c>
      <c r="F6" s="7">
        <f t="shared" si="0"/>
        <v>0.63716334175450828</v>
      </c>
      <c r="G6" s="14">
        <v>35554.166666666664</v>
      </c>
      <c r="H6" s="14">
        <f>C6-G6</f>
        <v>58410.823333333341</v>
      </c>
      <c r="I6" s="7">
        <f t="shared" si="1"/>
        <v>1.6428685808039381</v>
      </c>
      <c r="J6" s="7"/>
    </row>
    <row r="7" spans="1:13" x14ac:dyDescent="0.25">
      <c r="A7" s="1">
        <v>4</v>
      </c>
      <c r="B7" s="1" t="s">
        <v>33</v>
      </c>
      <c r="C7" s="11">
        <v>291500.40999999997</v>
      </c>
      <c r="D7" s="11">
        <v>137500.96</v>
      </c>
      <c r="E7" s="11">
        <f>C7-D7</f>
        <v>153999.44999999998</v>
      </c>
      <c r="F7" s="7">
        <f t="shared" si="0"/>
        <v>1.1199881804461582</v>
      </c>
      <c r="G7" s="14">
        <v>279938.40204894036</v>
      </c>
      <c r="H7" s="14">
        <f>C7-G7</f>
        <v>11562.007951059612</v>
      </c>
      <c r="I7" s="7">
        <f t="shared" si="1"/>
        <v>4.1301971671033111E-2</v>
      </c>
      <c r="J7" s="7"/>
    </row>
    <row r="8" spans="1:13" x14ac:dyDescent="0.25">
      <c r="A8" s="1">
        <v>5</v>
      </c>
      <c r="B8" s="1" t="s">
        <v>10</v>
      </c>
      <c r="C8" s="13">
        <v>4492.0600000000004</v>
      </c>
      <c r="D8" s="13">
        <v>5476.32</v>
      </c>
      <c r="E8" s="13">
        <f>C8-D8</f>
        <v>-984.25999999999931</v>
      </c>
      <c r="F8" s="7">
        <f t="shared" si="0"/>
        <v>-0.17973018377304456</v>
      </c>
      <c r="G8" s="12"/>
      <c r="H8" s="12">
        <f>C8-G8</f>
        <v>4492.0600000000004</v>
      </c>
      <c r="I8" s="7" t="str">
        <f t="shared" si="1"/>
        <v/>
      </c>
      <c r="J8" s="7"/>
    </row>
    <row r="9" spans="1:13" x14ac:dyDescent="0.25">
      <c r="C9" s="17"/>
      <c r="D9" s="17"/>
      <c r="E9" s="17"/>
      <c r="F9" s="7" t="str">
        <f t="shared" si="0"/>
        <v/>
      </c>
      <c r="G9" s="16"/>
      <c r="H9" s="16"/>
      <c r="I9" s="7" t="str">
        <f t="shared" si="1"/>
        <v/>
      </c>
    </row>
    <row r="10" spans="1:13" ht="13" x14ac:dyDescent="0.3">
      <c r="B10" s="9" t="s">
        <v>32</v>
      </c>
      <c r="C10" s="19">
        <f>SUM(C4:C9)</f>
        <v>763109.45000000007</v>
      </c>
      <c r="D10" s="19">
        <f>SUM(D4:D9)</f>
        <v>677464.50999999989</v>
      </c>
      <c r="E10" s="13">
        <f>C10-D10</f>
        <v>85644.940000000177</v>
      </c>
      <c r="F10" s="7">
        <f t="shared" si="0"/>
        <v>0.12641981791784221</v>
      </c>
      <c r="G10" s="18">
        <f>SUM(G4:G8)</f>
        <v>784406.37930810708</v>
      </c>
      <c r="H10" s="12">
        <f>C10-G10</f>
        <v>-21296.929308107006</v>
      </c>
      <c r="I10" s="7">
        <f t="shared" si="1"/>
        <v>-2.7150377495517259E-2</v>
      </c>
    </row>
    <row r="11" spans="1:13" ht="13" x14ac:dyDescent="0.3">
      <c r="B11" s="9"/>
      <c r="C11" s="17"/>
      <c r="D11" s="17"/>
      <c r="E11" s="28"/>
      <c r="F11" s="7"/>
      <c r="G11" s="16"/>
      <c r="H11" s="29"/>
      <c r="I11" s="7"/>
    </row>
    <row r="12" spans="1:13" x14ac:dyDescent="0.25">
      <c r="C12" s="17"/>
      <c r="D12" s="17"/>
      <c r="E12" s="17"/>
      <c r="F12" s="7" t="str">
        <f>IFERROR(E12/D12, "")</f>
        <v/>
      </c>
      <c r="G12" s="16"/>
      <c r="H12" s="16"/>
      <c r="I12" s="7" t="str">
        <f>IFERROR(H12/G12, "")</f>
        <v/>
      </c>
    </row>
    <row r="13" spans="1:13" ht="26" x14ac:dyDescent="0.3">
      <c r="B13" s="9" t="s">
        <v>31</v>
      </c>
      <c r="C13" s="25" t="s">
        <v>42</v>
      </c>
      <c r="D13" s="25" t="s">
        <v>41</v>
      </c>
      <c r="E13" s="24" t="s">
        <v>40</v>
      </c>
      <c r="F13" s="23"/>
      <c r="G13" s="22" t="s">
        <v>39</v>
      </c>
      <c r="H13" s="22" t="s">
        <v>38</v>
      </c>
      <c r="I13" s="30" t="s">
        <v>44</v>
      </c>
    </row>
    <row r="14" spans="1:13" x14ac:dyDescent="0.25">
      <c r="A14">
        <v>1</v>
      </c>
      <c r="B14" s="1" t="s">
        <v>30</v>
      </c>
      <c r="C14" s="11">
        <v>2893.82</v>
      </c>
      <c r="D14" s="11">
        <v>3887.61</v>
      </c>
      <c r="E14" s="11">
        <f t="shared" ref="E14:E43" si="2">C14-D14</f>
        <v>-993.79</v>
      </c>
      <c r="F14" s="7">
        <f t="shared" ref="F14:F43" si="3">IFERROR(E14/D14, "")</f>
        <v>-0.25563006577305847</v>
      </c>
      <c r="G14" s="14">
        <v>1808.3333333333333</v>
      </c>
      <c r="H14" s="14">
        <f t="shared" ref="H14:H41" si="4">C14-G14</f>
        <v>1085.4866666666669</v>
      </c>
      <c r="I14" s="7">
        <f t="shared" ref="I14:I43" si="5">IFERROR(H14/G14, "")</f>
        <v>0.6002691244239633</v>
      </c>
    </row>
    <row r="15" spans="1:13" x14ac:dyDescent="0.25">
      <c r="A15">
        <v>2</v>
      </c>
      <c r="B15" s="1" t="s">
        <v>29</v>
      </c>
      <c r="C15" s="11">
        <v>5542.08</v>
      </c>
      <c r="D15" s="11">
        <v>21567.65</v>
      </c>
      <c r="E15" s="11">
        <f t="shared" si="2"/>
        <v>-16025.570000000002</v>
      </c>
      <c r="F15" s="7">
        <f t="shared" si="3"/>
        <v>-0.74303737310277196</v>
      </c>
      <c r="G15" s="14">
        <v>52475.887333333325</v>
      </c>
      <c r="H15" s="14">
        <f t="shared" si="4"/>
        <v>-46933.807333333323</v>
      </c>
      <c r="I15" s="7">
        <f t="shared" si="5"/>
        <v>-0.89438806504031032</v>
      </c>
    </row>
    <row r="16" spans="1:13" x14ac:dyDescent="0.25">
      <c r="A16">
        <v>3</v>
      </c>
      <c r="B16" s="1" t="s">
        <v>28</v>
      </c>
      <c r="C16" s="11">
        <v>11169.43</v>
      </c>
      <c r="D16" s="11">
        <v>26253.54</v>
      </c>
      <c r="E16" s="11">
        <f t="shared" si="2"/>
        <v>-15084.11</v>
      </c>
      <c r="F16" s="7">
        <f t="shared" si="3"/>
        <v>-0.57455527902141956</v>
      </c>
      <c r="G16" s="14">
        <v>11418.75</v>
      </c>
      <c r="H16" s="14">
        <f t="shared" si="4"/>
        <v>-249.31999999999971</v>
      </c>
      <c r="I16" s="7">
        <f t="shared" si="5"/>
        <v>-2.1834263820470691E-2</v>
      </c>
    </row>
    <row r="17" spans="1:9" x14ac:dyDescent="0.25">
      <c r="A17">
        <v>4</v>
      </c>
      <c r="B17" s="1" t="s">
        <v>27</v>
      </c>
      <c r="C17" s="11">
        <v>500720.23</v>
      </c>
      <c r="D17" s="11">
        <v>461179.05</v>
      </c>
      <c r="E17" s="11">
        <f t="shared" si="2"/>
        <v>39541.179999999993</v>
      </c>
      <c r="F17" s="7">
        <f t="shared" si="3"/>
        <v>8.5739324021765498E-2</v>
      </c>
      <c r="G17" s="14">
        <v>519680.20223981893</v>
      </c>
      <c r="H17" s="14">
        <f t="shared" si="4"/>
        <v>-18959.972239818948</v>
      </c>
      <c r="I17" s="7">
        <f t="shared" si="5"/>
        <v>-3.648392253178314E-2</v>
      </c>
    </row>
    <row r="18" spans="1:9" x14ac:dyDescent="0.25">
      <c r="A18">
        <v>5</v>
      </c>
      <c r="B18" s="1" t="s">
        <v>26</v>
      </c>
      <c r="C18" s="11">
        <v>66055.59</v>
      </c>
      <c r="D18" s="11">
        <v>49894.66</v>
      </c>
      <c r="E18" s="11">
        <f t="shared" si="2"/>
        <v>16160.929999999993</v>
      </c>
      <c r="F18" s="7">
        <f t="shared" si="3"/>
        <v>0.32390099461545568</v>
      </c>
      <c r="G18" s="14">
        <v>72161.861775989892</v>
      </c>
      <c r="H18" s="14">
        <f t="shared" si="4"/>
        <v>-6106.2717759898951</v>
      </c>
      <c r="I18" s="7">
        <f t="shared" si="5"/>
        <v>-8.461909969764124E-2</v>
      </c>
    </row>
    <row r="19" spans="1:9" x14ac:dyDescent="0.25">
      <c r="A19">
        <v>6</v>
      </c>
      <c r="B19" s="1" t="s">
        <v>25</v>
      </c>
      <c r="C19" s="11">
        <v>14441.75</v>
      </c>
      <c r="D19" s="11">
        <v>9612.82</v>
      </c>
      <c r="E19" s="11">
        <f t="shared" si="2"/>
        <v>4828.93</v>
      </c>
      <c r="F19" s="7">
        <f t="shared" si="3"/>
        <v>0.50234270484623667</v>
      </c>
      <c r="G19" s="14">
        <v>20908.444666666663</v>
      </c>
      <c r="H19" s="14">
        <f t="shared" si="4"/>
        <v>-6466.6946666666627</v>
      </c>
      <c r="I19" s="7">
        <f t="shared" si="5"/>
        <v>-0.30928626063593367</v>
      </c>
    </row>
    <row r="20" spans="1:9" x14ac:dyDescent="0.25">
      <c r="A20">
        <v>7</v>
      </c>
      <c r="B20" s="1" t="s">
        <v>24</v>
      </c>
      <c r="C20" s="11">
        <v>2384.67</v>
      </c>
      <c r="D20" s="11">
        <v>1886.16</v>
      </c>
      <c r="E20" s="11">
        <f t="shared" si="2"/>
        <v>498.51</v>
      </c>
      <c r="F20" s="7">
        <f t="shared" si="3"/>
        <v>0.26429889298892989</v>
      </c>
      <c r="G20" s="14">
        <v>1862.3526133333332</v>
      </c>
      <c r="H20" s="14">
        <f t="shared" si="4"/>
        <v>522.31738666666683</v>
      </c>
      <c r="I20" s="7">
        <f t="shared" si="5"/>
        <v>0.2804610592683609</v>
      </c>
    </row>
    <row r="21" spans="1:9" x14ac:dyDescent="0.25">
      <c r="A21">
        <v>8</v>
      </c>
      <c r="B21" s="1" t="s">
        <v>23</v>
      </c>
      <c r="C21" s="11">
        <v>8367.7199999999993</v>
      </c>
      <c r="D21" s="11">
        <v>5742.72</v>
      </c>
      <c r="E21" s="11">
        <f t="shared" si="2"/>
        <v>2624.9999999999991</v>
      </c>
      <c r="F21" s="7">
        <f t="shared" si="3"/>
        <v>0.45710046807087912</v>
      </c>
      <c r="G21" s="14">
        <v>5180.3462878787886</v>
      </c>
      <c r="H21" s="14">
        <f t="shared" si="4"/>
        <v>3187.3737121212107</v>
      </c>
      <c r="I21" s="7">
        <f t="shared" si="5"/>
        <v>0.61528197826835895</v>
      </c>
    </row>
    <row r="22" spans="1:9" x14ac:dyDescent="0.25">
      <c r="A22">
        <v>9</v>
      </c>
      <c r="B22" s="1" t="s">
        <v>22</v>
      </c>
      <c r="C22" s="11">
        <v>8271.23</v>
      </c>
      <c r="D22" s="11">
        <v>4814.4799999999996</v>
      </c>
      <c r="E22" s="11">
        <f t="shared" si="2"/>
        <v>3456.75</v>
      </c>
      <c r="F22" s="7">
        <f t="shared" si="3"/>
        <v>0.71799031255711943</v>
      </c>
      <c r="G22" s="14">
        <v>7875</v>
      </c>
      <c r="H22" s="14">
        <f t="shared" si="4"/>
        <v>396.22999999999956</v>
      </c>
      <c r="I22" s="7">
        <f t="shared" si="5"/>
        <v>5.031492063492058E-2</v>
      </c>
    </row>
    <row r="23" spans="1:9" x14ac:dyDescent="0.25">
      <c r="A23">
        <v>10</v>
      </c>
      <c r="B23" s="1" t="s">
        <v>21</v>
      </c>
      <c r="C23" s="11">
        <v>6080.06</v>
      </c>
      <c r="D23" s="11">
        <v>6630.25</v>
      </c>
      <c r="E23" s="11">
        <f t="shared" si="2"/>
        <v>-550.1899999999996</v>
      </c>
      <c r="F23" s="7">
        <f t="shared" si="3"/>
        <v>-8.2981788017043034E-2</v>
      </c>
      <c r="G23" s="14">
        <v>5348.2399090909084</v>
      </c>
      <c r="H23" s="14">
        <f t="shared" si="4"/>
        <v>731.82009090909196</v>
      </c>
      <c r="I23" s="7">
        <f t="shared" si="5"/>
        <v>0.13683381885415205</v>
      </c>
    </row>
    <row r="24" spans="1:9" x14ac:dyDescent="0.25">
      <c r="A24">
        <v>11</v>
      </c>
      <c r="B24" s="1" t="s">
        <v>20</v>
      </c>
      <c r="C24" s="11">
        <v>0</v>
      </c>
      <c r="D24" s="11">
        <v>0</v>
      </c>
      <c r="E24" s="11">
        <f t="shared" si="2"/>
        <v>0</v>
      </c>
      <c r="F24" s="7" t="str">
        <f t="shared" si="3"/>
        <v/>
      </c>
      <c r="G24" s="14">
        <v>0</v>
      </c>
      <c r="H24" s="14">
        <f t="shared" si="4"/>
        <v>0</v>
      </c>
      <c r="I24" s="7" t="str">
        <f t="shared" si="5"/>
        <v/>
      </c>
    </row>
    <row r="25" spans="1:9" x14ac:dyDescent="0.25">
      <c r="A25">
        <v>12</v>
      </c>
      <c r="B25" s="1" t="s">
        <v>19</v>
      </c>
      <c r="C25" s="11">
        <v>43.62</v>
      </c>
      <c r="D25" s="11">
        <v>39</v>
      </c>
      <c r="E25" s="11">
        <f t="shared" si="2"/>
        <v>4.6199999999999974</v>
      </c>
      <c r="F25" s="7">
        <f t="shared" si="3"/>
        <v>0.1184615384615384</v>
      </c>
      <c r="G25" s="14">
        <v>0</v>
      </c>
      <c r="H25" s="14">
        <f t="shared" si="4"/>
        <v>43.62</v>
      </c>
      <c r="I25" s="7" t="str">
        <f t="shared" si="5"/>
        <v/>
      </c>
    </row>
    <row r="26" spans="1:9" x14ac:dyDescent="0.25">
      <c r="A26">
        <v>13</v>
      </c>
      <c r="B26" s="1" t="s">
        <v>18</v>
      </c>
      <c r="C26" s="11">
        <v>0</v>
      </c>
      <c r="D26" s="11">
        <v>205.3</v>
      </c>
      <c r="E26" s="11">
        <f t="shared" si="2"/>
        <v>-205.3</v>
      </c>
      <c r="F26" s="7">
        <f t="shared" si="3"/>
        <v>-1</v>
      </c>
      <c r="G26" s="14">
        <v>159.10825</v>
      </c>
      <c r="H26" s="14">
        <f t="shared" si="4"/>
        <v>-159.10825</v>
      </c>
      <c r="I26" s="7">
        <f t="shared" si="5"/>
        <v>-1</v>
      </c>
    </row>
    <row r="27" spans="1:9" x14ac:dyDescent="0.25">
      <c r="A27">
        <v>14</v>
      </c>
      <c r="B27" s="1" t="s">
        <v>17</v>
      </c>
      <c r="C27" s="11">
        <v>79.23</v>
      </c>
      <c r="D27" s="11">
        <v>0</v>
      </c>
      <c r="E27" s="11">
        <f t="shared" si="2"/>
        <v>79.23</v>
      </c>
      <c r="F27" s="7" t="str">
        <f t="shared" si="3"/>
        <v/>
      </c>
      <c r="G27" s="14">
        <v>0</v>
      </c>
      <c r="H27" s="14">
        <f t="shared" si="4"/>
        <v>79.23</v>
      </c>
      <c r="I27" s="7" t="str">
        <f t="shared" si="5"/>
        <v/>
      </c>
    </row>
    <row r="28" spans="1:9" x14ac:dyDescent="0.25">
      <c r="A28">
        <v>15</v>
      </c>
      <c r="B28" s="1" t="s">
        <v>16</v>
      </c>
      <c r="C28" s="11">
        <v>17148.849999999999</v>
      </c>
      <c r="D28" s="11">
        <v>12909.21</v>
      </c>
      <c r="E28" s="11">
        <f t="shared" si="2"/>
        <v>4239.6399999999994</v>
      </c>
      <c r="F28" s="7">
        <f t="shared" si="3"/>
        <v>0.32841978711323155</v>
      </c>
      <c r="G28" s="14">
        <v>12016.666666666666</v>
      </c>
      <c r="H28" s="14">
        <f t="shared" si="4"/>
        <v>5132.1833333333325</v>
      </c>
      <c r="I28" s="7">
        <f t="shared" si="5"/>
        <v>0.42708876560332865</v>
      </c>
    </row>
    <row r="29" spans="1:9" x14ac:dyDescent="0.25">
      <c r="A29">
        <v>16</v>
      </c>
      <c r="B29" s="1" t="s">
        <v>15</v>
      </c>
      <c r="C29" s="11">
        <v>10316.91</v>
      </c>
      <c r="D29" s="11">
        <v>10025.74</v>
      </c>
      <c r="E29" s="11">
        <f t="shared" si="2"/>
        <v>291.17000000000007</v>
      </c>
      <c r="F29" s="7">
        <f t="shared" si="3"/>
        <v>2.9042245260698967E-2</v>
      </c>
      <c r="G29" s="14">
        <v>10642.296875</v>
      </c>
      <c r="H29" s="14">
        <f t="shared" si="4"/>
        <v>-325.38687500000015</v>
      </c>
      <c r="I29" s="7">
        <f t="shared" si="5"/>
        <v>-3.0574872964159831E-2</v>
      </c>
    </row>
    <row r="30" spans="1:9" x14ac:dyDescent="0.25">
      <c r="A30">
        <v>17</v>
      </c>
      <c r="B30" s="1" t="s">
        <v>14</v>
      </c>
      <c r="C30" s="11">
        <v>143.1</v>
      </c>
      <c r="D30" s="11">
        <v>185.82</v>
      </c>
      <c r="E30" s="11">
        <f t="shared" si="2"/>
        <v>-42.72</v>
      </c>
      <c r="F30" s="7">
        <f t="shared" si="3"/>
        <v>-0.22989990313206329</v>
      </c>
      <c r="G30" s="14">
        <v>291.66666666666669</v>
      </c>
      <c r="H30" s="14">
        <f t="shared" si="4"/>
        <v>-148.56666666666669</v>
      </c>
      <c r="I30" s="7">
        <f t="shared" si="5"/>
        <v>-0.50937142857142859</v>
      </c>
    </row>
    <row r="31" spans="1:9" x14ac:dyDescent="0.25">
      <c r="A31">
        <v>18</v>
      </c>
      <c r="B31" s="1" t="s">
        <v>13</v>
      </c>
      <c r="C31" s="11">
        <v>2475.54</v>
      </c>
      <c r="D31" s="11">
        <v>1466.78</v>
      </c>
      <c r="E31" s="11">
        <f t="shared" si="2"/>
        <v>1008.76</v>
      </c>
      <c r="F31" s="7">
        <f t="shared" si="3"/>
        <v>0.68773776571810363</v>
      </c>
      <c r="G31" s="14">
        <v>1137.5</v>
      </c>
      <c r="H31" s="14">
        <f t="shared" si="4"/>
        <v>1338.04</v>
      </c>
      <c r="I31" s="7">
        <f t="shared" si="5"/>
        <v>1.1762989010989011</v>
      </c>
    </row>
    <row r="32" spans="1:9" x14ac:dyDescent="0.25">
      <c r="A32">
        <v>19</v>
      </c>
      <c r="B32" s="1" t="s">
        <v>12</v>
      </c>
      <c r="C32" s="11">
        <v>1279.1099999999999</v>
      </c>
      <c r="D32" s="11">
        <v>1279.1099999999999</v>
      </c>
      <c r="E32" s="11">
        <f t="shared" si="2"/>
        <v>0</v>
      </c>
      <c r="F32" s="7">
        <f t="shared" si="3"/>
        <v>0</v>
      </c>
      <c r="G32" s="14">
        <v>1279.1099999999997</v>
      </c>
      <c r="H32" s="14">
        <f t="shared" si="4"/>
        <v>0</v>
      </c>
      <c r="I32" s="7">
        <f t="shared" si="5"/>
        <v>0</v>
      </c>
    </row>
    <row r="33" spans="1:9" x14ac:dyDescent="0.25">
      <c r="A33">
        <v>20</v>
      </c>
      <c r="B33" s="1" t="s">
        <v>11</v>
      </c>
      <c r="C33" s="11">
        <v>5373.33</v>
      </c>
      <c r="D33" s="11">
        <v>4238.03</v>
      </c>
      <c r="E33" s="11">
        <f t="shared" si="2"/>
        <v>1135.3000000000002</v>
      </c>
      <c r="F33" s="7">
        <f t="shared" si="3"/>
        <v>0.26788389888698294</v>
      </c>
      <c r="G33" s="14">
        <v>3184.36139</v>
      </c>
      <c r="H33" s="14">
        <f t="shared" si="4"/>
        <v>2188.9686099999999</v>
      </c>
      <c r="I33" s="7">
        <f t="shared" si="5"/>
        <v>0.68741211876080432</v>
      </c>
    </row>
    <row r="34" spans="1:9" s="15" customFormat="1" hidden="1" x14ac:dyDescent="0.25">
      <c r="A34">
        <v>21</v>
      </c>
      <c r="B34" s="15" t="s">
        <v>10</v>
      </c>
      <c r="C34" s="11">
        <v>3261.13</v>
      </c>
      <c r="D34" s="11">
        <v>658.9</v>
      </c>
      <c r="E34" s="11">
        <f t="shared" si="2"/>
        <v>2602.23</v>
      </c>
      <c r="F34" s="7">
        <f t="shared" si="3"/>
        <v>3.9493549855820307</v>
      </c>
      <c r="G34" s="14">
        <v>29.166666666666668</v>
      </c>
      <c r="H34" s="14">
        <f t="shared" si="4"/>
        <v>3231.9633333333336</v>
      </c>
      <c r="I34" s="7">
        <f t="shared" si="5"/>
        <v>110.81017142857144</v>
      </c>
    </row>
    <row r="35" spans="1:9" x14ac:dyDescent="0.25">
      <c r="A35">
        <v>22</v>
      </c>
      <c r="B35" s="1" t="s">
        <v>9</v>
      </c>
      <c r="C35" s="11">
        <v>20766.55</v>
      </c>
      <c r="D35" s="11">
        <v>20315.12</v>
      </c>
      <c r="E35" s="11">
        <f t="shared" si="2"/>
        <v>451.43000000000029</v>
      </c>
      <c r="F35" s="7">
        <f t="shared" si="3"/>
        <v>2.2221379937701589E-2</v>
      </c>
      <c r="G35" s="14">
        <v>20744.850000000002</v>
      </c>
      <c r="H35" s="14">
        <f t="shared" si="4"/>
        <v>21.69999999999709</v>
      </c>
      <c r="I35" s="7">
        <f t="shared" si="5"/>
        <v>1.0460427527794651E-3</v>
      </c>
    </row>
    <row r="36" spans="1:9" x14ac:dyDescent="0.25">
      <c r="A36">
        <v>23</v>
      </c>
      <c r="B36" s="1" t="s">
        <v>8</v>
      </c>
      <c r="C36" s="11">
        <v>13363.22</v>
      </c>
      <c r="D36" s="11">
        <v>11519.38</v>
      </c>
      <c r="E36" s="11">
        <f t="shared" si="2"/>
        <v>1843.8400000000001</v>
      </c>
      <c r="F36" s="7">
        <f t="shared" si="3"/>
        <v>0.16006417012026691</v>
      </c>
      <c r="G36" s="14">
        <v>11666.666666666666</v>
      </c>
      <c r="H36" s="14">
        <f t="shared" si="4"/>
        <v>1696.5533333333333</v>
      </c>
      <c r="I36" s="7">
        <f t="shared" si="5"/>
        <v>0.14541885714285716</v>
      </c>
    </row>
    <row r="37" spans="1:9" x14ac:dyDescent="0.25">
      <c r="A37">
        <v>24</v>
      </c>
      <c r="B37" s="1" t="s">
        <v>7</v>
      </c>
      <c r="C37" s="11">
        <v>12550.1</v>
      </c>
      <c r="D37" s="11">
        <v>14377.11</v>
      </c>
      <c r="E37" s="11">
        <f t="shared" si="2"/>
        <v>-1827.0100000000002</v>
      </c>
      <c r="F37" s="7">
        <f t="shared" si="3"/>
        <v>-0.12707769503050337</v>
      </c>
      <c r="G37" s="14">
        <v>13283.013333333331</v>
      </c>
      <c r="H37" s="14">
        <f t="shared" si="4"/>
        <v>-732.91333333333023</v>
      </c>
      <c r="I37" s="7">
        <f t="shared" si="5"/>
        <v>-5.517673700545838E-2</v>
      </c>
    </row>
    <row r="38" spans="1:9" x14ac:dyDescent="0.25">
      <c r="A38">
        <v>25</v>
      </c>
      <c r="B38" s="1" t="s">
        <v>6</v>
      </c>
      <c r="C38" s="11">
        <v>4255.4399999999996</v>
      </c>
      <c r="D38" s="11">
        <v>3959.43</v>
      </c>
      <c r="E38" s="11">
        <f t="shared" si="2"/>
        <v>296.00999999999976</v>
      </c>
      <c r="F38" s="7">
        <f t="shared" si="3"/>
        <v>7.4760761018631411E-2</v>
      </c>
      <c r="G38" s="14">
        <v>4018.3674999999998</v>
      </c>
      <c r="H38" s="14">
        <f t="shared" si="4"/>
        <v>237.07249999999976</v>
      </c>
      <c r="I38" s="7">
        <f t="shared" si="5"/>
        <v>5.8997217153483293E-2</v>
      </c>
    </row>
    <row r="39" spans="1:9" x14ac:dyDescent="0.25">
      <c r="A39">
        <v>26</v>
      </c>
      <c r="B39" s="1" t="s">
        <v>5</v>
      </c>
      <c r="C39" s="11">
        <v>4983.67</v>
      </c>
      <c r="D39" s="11">
        <v>967.47</v>
      </c>
      <c r="E39" s="11">
        <f t="shared" si="2"/>
        <v>4016.2</v>
      </c>
      <c r="F39" s="7">
        <f t="shared" si="3"/>
        <v>4.1512398317260484</v>
      </c>
      <c r="G39" s="14">
        <v>2333.3333333333335</v>
      </c>
      <c r="H39" s="14">
        <f t="shared" si="4"/>
        <v>2650.3366666666666</v>
      </c>
      <c r="I39" s="7">
        <f t="shared" si="5"/>
        <v>1.1358585714285714</v>
      </c>
    </row>
    <row r="40" spans="1:9" x14ac:dyDescent="0.25">
      <c r="A40">
        <v>27</v>
      </c>
      <c r="B40" s="1" t="s">
        <v>4</v>
      </c>
      <c r="C40" s="11">
        <v>3116.53</v>
      </c>
      <c r="D40" s="11">
        <v>3342.1699999999996</v>
      </c>
      <c r="E40" s="11">
        <f t="shared" si="2"/>
        <v>-225.63999999999942</v>
      </c>
      <c r="F40" s="7">
        <f t="shared" si="3"/>
        <v>-6.7513022976090215E-2</v>
      </c>
      <c r="G40" s="14">
        <v>3208.3333333333335</v>
      </c>
      <c r="H40" s="14">
        <f t="shared" si="4"/>
        <v>-91.803333333333285</v>
      </c>
      <c r="I40" s="7">
        <f t="shared" si="5"/>
        <v>-2.8614025974025958E-2</v>
      </c>
    </row>
    <row r="41" spans="1:9" x14ac:dyDescent="0.25">
      <c r="A41">
        <v>28</v>
      </c>
      <c r="B41" s="1" t="s">
        <v>3</v>
      </c>
      <c r="C41" s="11">
        <v>35610.18</v>
      </c>
      <c r="D41" s="11">
        <v>1297.3499999999999</v>
      </c>
      <c r="E41" s="11">
        <f t="shared" si="2"/>
        <v>34312.83</v>
      </c>
      <c r="F41" s="7">
        <f t="shared" si="3"/>
        <v>26.448398658804489</v>
      </c>
      <c r="G41" s="14">
        <v>2104.0833333333335</v>
      </c>
      <c r="H41" s="14">
        <f t="shared" si="4"/>
        <v>33506.096666666665</v>
      </c>
      <c r="I41" s="7">
        <f t="shared" si="5"/>
        <v>15.924320171095882</v>
      </c>
    </row>
    <row r="42" spans="1:9" x14ac:dyDescent="0.25">
      <c r="A42">
        <v>29</v>
      </c>
      <c r="B42" s="1" t="s">
        <v>2</v>
      </c>
      <c r="C42" s="11">
        <v>1728.39</v>
      </c>
      <c r="D42" s="11">
        <v>1411.42</v>
      </c>
      <c r="E42" s="11">
        <f t="shared" si="2"/>
        <v>316.97000000000003</v>
      </c>
      <c r="F42" s="7">
        <f t="shared" si="3"/>
        <v>0.22457525045698659</v>
      </c>
      <c r="G42" s="14">
        <v>2303.0129563636365</v>
      </c>
      <c r="H42" s="14">
        <f>C42-G42</f>
        <v>-574.62295636363638</v>
      </c>
      <c r="I42" s="7">
        <f t="shared" si="5"/>
        <v>-0.24950921564546583</v>
      </c>
    </row>
    <row r="43" spans="1:9" ht="13" x14ac:dyDescent="0.3">
      <c r="B43" s="9" t="s">
        <v>1</v>
      </c>
      <c r="C43" s="13">
        <v>762421.4800000001</v>
      </c>
      <c r="D43" s="13">
        <v>679666.28</v>
      </c>
      <c r="E43" s="13">
        <f t="shared" si="2"/>
        <v>82755.20000000007</v>
      </c>
      <c r="F43" s="7">
        <f t="shared" si="3"/>
        <v>0.12175857834230068</v>
      </c>
      <c r="G43" s="12">
        <v>787120.95513080864</v>
      </c>
      <c r="H43" s="12">
        <f>C43-G43</f>
        <v>-24699.47513080854</v>
      </c>
      <c r="I43" s="7">
        <f t="shared" si="5"/>
        <v>-3.1379516667427346E-2</v>
      </c>
    </row>
    <row r="44" spans="1:9" x14ac:dyDescent="0.25">
      <c r="C44" s="11"/>
      <c r="D44" s="11"/>
      <c r="E44" s="11"/>
      <c r="G44" s="10"/>
      <c r="H44" s="10"/>
    </row>
    <row r="45" spans="1:9" ht="13.5" thickBot="1" x14ac:dyDescent="0.35">
      <c r="B45" s="9" t="s">
        <v>0</v>
      </c>
      <c r="C45" s="8">
        <f>C10-C43</f>
        <v>687.96999999997206</v>
      </c>
      <c r="D45" s="8">
        <f>D10-D43</f>
        <v>-2201.770000000135</v>
      </c>
      <c r="E45" s="8">
        <f>E10-E43</f>
        <v>2889.7400000001071</v>
      </c>
      <c r="F45" s="7"/>
      <c r="G45" s="6">
        <f>G10-G43</f>
        <v>-2714.5758227015613</v>
      </c>
      <c r="H45" s="6"/>
      <c r="I45" s="7"/>
    </row>
    <row r="46" spans="1:9" ht="13" thickTop="1" x14ac:dyDescent="0.25">
      <c r="F46" s="5"/>
      <c r="I46" s="5"/>
    </row>
    <row r="47" spans="1:9" x14ac:dyDescent="0.25">
      <c r="A47" s="1" t="s">
        <v>46</v>
      </c>
      <c r="G47" s="4"/>
    </row>
    <row r="48" spans="1:9" x14ac:dyDescent="0.25">
      <c r="A48">
        <v>4</v>
      </c>
      <c r="B48" s="1" t="s">
        <v>27</v>
      </c>
      <c r="C48" s="11">
        <f>C17</f>
        <v>500720.23</v>
      </c>
      <c r="D48" s="11">
        <f>D17</f>
        <v>461179.05</v>
      </c>
      <c r="E48" s="11">
        <f t="shared" ref="E48:E49" si="6">C48-D48</f>
        <v>39541.179999999993</v>
      </c>
      <c r="F48" s="7">
        <f>IFERROR(E48/D48, "")</f>
        <v>8.5739324021765498E-2</v>
      </c>
      <c r="G48" s="11">
        <f>G17</f>
        <v>519680.20223981893</v>
      </c>
      <c r="H48" s="14">
        <f>C48-G48</f>
        <v>-18959.972239818948</v>
      </c>
      <c r="I48" s="7">
        <f t="shared" ref="I48:I49" si="7">IFERROR(H48/G48, "")</f>
        <v>-3.648392253178314E-2</v>
      </c>
    </row>
    <row r="49" spans="1:9" x14ac:dyDescent="0.25">
      <c r="A49">
        <v>5</v>
      </c>
      <c r="B49" s="1" t="s">
        <v>26</v>
      </c>
      <c r="C49" s="13">
        <f>C18</f>
        <v>66055.59</v>
      </c>
      <c r="D49" s="13">
        <f>D18</f>
        <v>49894.66</v>
      </c>
      <c r="E49" s="11">
        <f t="shared" si="6"/>
        <v>16160.929999999993</v>
      </c>
      <c r="F49" s="7">
        <f t="shared" ref="F49" si="8">IFERROR(E49/D49, "")</f>
        <v>0.32390099461545568</v>
      </c>
      <c r="G49" s="13">
        <f>G18</f>
        <v>72161.861775989892</v>
      </c>
      <c r="H49" s="14">
        <f t="shared" ref="H49" si="9">C49-G49</f>
        <v>-6106.2717759898951</v>
      </c>
      <c r="I49" s="7">
        <f t="shared" si="7"/>
        <v>-8.461909969764124E-2</v>
      </c>
    </row>
    <row r="50" spans="1:9" x14ac:dyDescent="0.25">
      <c r="C50" s="2">
        <f>SUM(C48:C49)</f>
        <v>566775.81999999995</v>
      </c>
      <c r="D50" s="2">
        <f>SUM(D48:D49)</f>
        <v>511073.70999999996</v>
      </c>
      <c r="E50" s="2">
        <f>SUM(E48:E49)</f>
        <v>55702.109999999986</v>
      </c>
      <c r="F50" s="7">
        <f>IFERROR(E50/D50, "")</f>
        <v>0.10899036461883353</v>
      </c>
      <c r="G50" s="2">
        <f>SUM(G48:G49)</f>
        <v>591842.06401580886</v>
      </c>
      <c r="H50" s="14">
        <f>C50-G50</f>
        <v>-25066.244015808916</v>
      </c>
      <c r="I50" s="7">
        <f>IFERROR(H50/G50, "")</f>
        <v>-4.2352927478198583E-2</v>
      </c>
    </row>
    <row r="51" spans="1:9" x14ac:dyDescent="0.25">
      <c r="C51" s="31">
        <f>C50/C43</f>
        <v>0.74338910283587478</v>
      </c>
      <c r="D51" s="31">
        <f>D50/D43</f>
        <v>0.75194801484045959</v>
      </c>
    </row>
  </sheetData>
  <pageMargins left="0.70866141732283472" right="0.70866141732283472" top="0.74803149606299213" bottom="0.74803149606299213" header="0.31496062992125984" footer="0.31496062992125984"/>
  <pageSetup paperSize="5" scale="7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5292AFBD4188439EC230EA9BEE8C0D" ma:contentTypeVersion="3" ma:contentTypeDescription="Crée un document." ma:contentTypeScope="" ma:versionID="30540def0c9bbddcb66ed2b3f73a8378">
  <xsd:schema xmlns:xsd="http://www.w3.org/2001/XMLSchema" xmlns:xs="http://www.w3.org/2001/XMLSchema" xmlns:p="http://schemas.microsoft.com/office/2006/metadata/properties" xmlns:ns2="334164f6-1cc8-4082-8b90-3a8e1a293d64" targetNamespace="http://schemas.microsoft.com/office/2006/metadata/properties" ma:root="true" ma:fieldsID="c2438890933ba4a61154c3610873a851" ns2:_="">
    <xsd:import namespace="334164f6-1cc8-4082-8b90-3a8e1a293d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164f6-1cc8-4082-8b90-3a8e1a293d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B475D9-FFE8-4E20-9A7B-8920AD7454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4164f6-1cc8-4082-8b90-3a8e1a293d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8E91F7-2269-41CD-918A-FED8145EDE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32AEEF-D4BE-4284-BB04-95BD9AC8DA2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Accountant</dc:creator>
  <cp:lastModifiedBy>Accountant</cp:lastModifiedBy>
  <dcterms:created xsi:type="dcterms:W3CDTF">2025-10-28T22:50:52Z</dcterms:created>
  <dcterms:modified xsi:type="dcterms:W3CDTF">2025-11-19T20:29:41Z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0x010100795292AFBD4188439EC230EA9BEE8C0D</vt:lpwstr>
  </property>
</Properties>
</file>